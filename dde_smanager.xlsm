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amr\Dropbox\S300 Calibrations\Documents\"/>
    </mc:Choice>
  </mc:AlternateContent>
  <xr:revisionPtr revIDLastSave="0" documentId="13_ncr:1_{1F53BBBE-98BC-4C5B-8303-2AE4FA51D346}" xr6:coauthVersionLast="40" xr6:coauthVersionMax="40" xr10:uidLastSave="{00000000-0000-0000-0000-000000000000}"/>
  <bookViews>
    <workbookView xWindow="32775" yWindow="32775" windowWidth="28800" windowHeight="11925" xr2:uid="{00000000-000D-0000-FFFF-FFFF00000000}"/>
  </bookViews>
  <sheets>
    <sheet name="Main" sheetId="2" r:id="rId1"/>
    <sheet name="SManager" sheetId="1" r:id="rId2"/>
  </sheets>
  <externalReferences>
    <externalReference r:id="rId3"/>
    <externalReference r:id="rId4"/>
    <externalReference r:id="rId5"/>
  </externalReferences>
  <definedNames>
    <definedName name="range_buttonArea">Main!$A$16</definedName>
    <definedName name="range_CalInput">SManager!$A$3</definedName>
    <definedName name="range_CalName">Main!$B$7</definedName>
    <definedName name="range_DateStart">Main!$B$1</definedName>
    <definedName name="range_FilePath">Main!$B$6</definedName>
    <definedName name="range_FrameCount">SManager!$A$6</definedName>
    <definedName name="range_HeaderFrames">SManager!$I$4</definedName>
    <definedName name="range_HeaderLength">SManager!$I$5</definedName>
    <definedName name="range_HeaderNotes">SManager!$I$3</definedName>
    <definedName name="range_HeaderTitle">SManager!$I$2</definedName>
    <definedName name="range_LogFileName">Main!$B$15</definedName>
    <definedName name="range_logFilePath">Main!$B$14</definedName>
    <definedName name="range_LogTime">Main!$E$1</definedName>
    <definedName name="range_MessageBox">Main!$H$1</definedName>
    <definedName name="range_Notes">Main!$B$9</definedName>
    <definedName name="range_SensorCount">SManager!$A$9</definedName>
    <definedName name="range_SensorNames">SManager!$A$11:$A$94</definedName>
    <definedName name="range_SensorUnits">SManager!$B$11:$B$94</definedName>
    <definedName name="range_SensorVals">SManager!$C$11:$C$94</definedName>
    <definedName name="range_SManagerCalName">Main!$B$4</definedName>
    <definedName name="range_Time">SManager!$C$13</definedName>
    <definedName name="range_TimeOfDay">SManager!$C$12</definedName>
    <definedName name="range_TimeStart">Main!$B$2</definedName>
  </definedNames>
  <calcPr calcId="191029"/>
</workbook>
</file>

<file path=xl/calcChain.xml><?xml version="1.0" encoding="utf-8"?>
<calcChain xmlns="http://schemas.openxmlformats.org/spreadsheetml/2006/main">
  <c r="I2" i="1" l="1"/>
  <c r="I3" i="1"/>
  <c r="I4" i="1"/>
  <c r="I5" i="1"/>
  <c r="C11" i="1"/>
  <c r="D14" i="1" l="1" a="1"/>
  <c r="D86" i="1" s="1"/>
  <c r="D53" i="1" l="1"/>
  <c r="D77" i="1"/>
  <c r="D14" i="1"/>
  <c r="D22" i="1"/>
  <c r="D30" i="1"/>
  <c r="D38" i="1"/>
  <c r="D46" i="1"/>
  <c r="D54" i="1"/>
  <c r="D62" i="1"/>
  <c r="D70" i="1"/>
  <c r="D78" i="1"/>
  <c r="D94" i="1"/>
  <c r="D15" i="1"/>
  <c r="D23" i="1"/>
  <c r="D31" i="1"/>
  <c r="D39" i="1"/>
  <c r="D47" i="1"/>
  <c r="D55" i="1"/>
  <c r="D63" i="1"/>
  <c r="D71" i="1"/>
  <c r="D79" i="1"/>
  <c r="D87" i="1"/>
  <c r="D45" i="1"/>
  <c r="D85" i="1"/>
  <c r="D24" i="1"/>
  <c r="D56" i="1"/>
  <c r="D33" i="1"/>
  <c r="D57" i="1"/>
  <c r="D65" i="1"/>
  <c r="D89" i="1"/>
  <c r="D21" i="1"/>
  <c r="D61" i="1"/>
  <c r="D40" i="1"/>
  <c r="D80" i="1"/>
  <c r="D17" i="1"/>
  <c r="D18" i="1"/>
  <c r="D90" i="1"/>
  <c r="D37" i="1"/>
  <c r="D69" i="1"/>
  <c r="D16" i="1"/>
  <c r="D48" i="1"/>
  <c r="D72" i="1"/>
  <c r="D25" i="1"/>
  <c r="D49" i="1"/>
  <c r="D73" i="1"/>
  <c r="D34" i="1"/>
  <c r="D50" i="1"/>
  <c r="D66" i="1"/>
  <c r="D82" i="1"/>
  <c r="D19" i="1"/>
  <c r="D27" i="1"/>
  <c r="D35" i="1"/>
  <c r="D43" i="1"/>
  <c r="D51" i="1"/>
  <c r="D59" i="1"/>
  <c r="D67" i="1"/>
  <c r="D75" i="1"/>
  <c r="D83" i="1"/>
  <c r="D91" i="1"/>
  <c r="D29" i="1"/>
  <c r="D93" i="1"/>
  <c r="D32" i="1"/>
  <c r="D64" i="1"/>
  <c r="D88" i="1"/>
  <c r="D41" i="1"/>
  <c r="D81" i="1"/>
  <c r="D26" i="1"/>
  <c r="D42" i="1"/>
  <c r="D58" i="1"/>
  <c r="D74" i="1"/>
  <c r="D20" i="1"/>
  <c r="D28" i="1"/>
  <c r="D36" i="1"/>
  <c r="D44" i="1"/>
  <c r="D52" i="1"/>
  <c r="D60" i="1"/>
  <c r="D68" i="1"/>
  <c r="D76" i="1"/>
  <c r="D84" i="1"/>
  <c r="D92" i="1"/>
  <c r="B4" i="2"/>
  <c r="A3" i="1" l="1"/>
  <c r="A9" i="1"/>
  <c r="A6" i="1"/>
  <c r="B14" i="1" a="1"/>
  <c r="B42" i="1" s="1"/>
  <c r="C14" i="1" a="1"/>
  <c r="C71" i="1" s="1"/>
  <c r="B60" i="1" l="1"/>
  <c r="B39" i="1"/>
  <c r="B79" i="1"/>
  <c r="B36" i="1"/>
  <c r="B16" i="1"/>
  <c r="B24" i="1"/>
  <c r="B82" i="1"/>
  <c r="B18" i="1"/>
  <c r="B54" i="1"/>
  <c r="B27" i="1"/>
  <c r="B35" i="1"/>
  <c r="B94" i="1"/>
  <c r="B23" i="1"/>
  <c r="B78" i="1"/>
  <c r="B44" i="1"/>
  <c r="B20" i="1"/>
  <c r="B22" i="1"/>
  <c r="B51" i="1"/>
  <c r="B57" i="1"/>
  <c r="B90" i="1"/>
  <c r="B14" i="1"/>
  <c r="B46" i="1"/>
  <c r="B26" i="1"/>
  <c r="B30" i="1"/>
  <c r="B89" i="1"/>
  <c r="B65" i="1"/>
  <c r="B21" i="1"/>
  <c r="B55" i="1"/>
  <c r="B50" i="1"/>
  <c r="B52" i="1"/>
  <c r="B74" i="1"/>
  <c r="B92" i="1"/>
  <c r="B76" i="1"/>
  <c r="B83" i="1"/>
  <c r="B75" i="1"/>
  <c r="B69" i="1"/>
  <c r="B77" i="1"/>
  <c r="B43" i="1"/>
  <c r="B40" i="1"/>
  <c r="B80" i="1"/>
  <c r="B88" i="1"/>
  <c r="B64" i="1"/>
  <c r="B81" i="1"/>
  <c r="B87" i="1"/>
  <c r="B31" i="1"/>
  <c r="C47" i="1"/>
  <c r="C80" i="1"/>
  <c r="C65" i="1"/>
  <c r="C73" i="1"/>
  <c r="C17" i="1"/>
  <c r="C16" i="1"/>
  <c r="C78" i="1"/>
  <c r="C69" i="1"/>
  <c r="C35" i="1"/>
  <c r="C61" i="1"/>
  <c r="C40" i="1"/>
  <c r="C93" i="1"/>
  <c r="C14" i="1"/>
  <c r="C50" i="1"/>
  <c r="C21" i="1"/>
  <c r="C32" i="1"/>
  <c r="C55" i="1"/>
  <c r="C18" i="1"/>
  <c r="C19" i="1"/>
  <c r="C94" i="1"/>
  <c r="C79" i="1"/>
  <c r="C20" i="1"/>
  <c r="C83" i="1"/>
  <c r="C67" i="1"/>
  <c r="C30" i="1"/>
  <c r="C57" i="1"/>
  <c r="C58" i="1"/>
  <c r="C46" i="1"/>
  <c r="C49" i="1"/>
  <c r="C86" i="1"/>
  <c r="C28" i="1"/>
  <c r="C48" i="1"/>
  <c r="C77" i="1"/>
  <c r="C88" i="1"/>
  <c r="C27" i="1"/>
  <c r="C62" i="1"/>
  <c r="C68" i="1"/>
  <c r="C38" i="1"/>
  <c r="C43" i="1"/>
  <c r="C70" i="1"/>
  <c r="C33" i="1"/>
  <c r="C74" i="1"/>
  <c r="C25" i="1"/>
  <c r="C42" i="1"/>
  <c r="C82" i="1"/>
  <c r="C39" i="1"/>
  <c r="C60" i="1"/>
  <c r="C76" i="1"/>
  <c r="C41" i="1"/>
  <c r="C66" i="1"/>
  <c r="C31" i="1"/>
  <c r="C53" i="1"/>
  <c r="C56" i="1"/>
  <c r="C52" i="1"/>
  <c r="C45" i="1"/>
  <c r="C91" i="1"/>
  <c r="C34" i="1"/>
  <c r="C15" i="1"/>
  <c r="C59" i="1"/>
  <c r="C81" i="1"/>
  <c r="C85" i="1"/>
  <c r="C26" i="1"/>
  <c r="C54" i="1"/>
  <c r="C63" i="1"/>
  <c r="C72" i="1"/>
  <c r="C44" i="1"/>
  <c r="C37" i="1"/>
  <c r="C87" i="1"/>
  <c r="C75" i="1"/>
  <c r="C24" i="1"/>
  <c r="C29" i="1"/>
  <c r="C51" i="1"/>
  <c r="C64" i="1"/>
  <c r="C22" i="1"/>
  <c r="C89" i="1"/>
  <c r="C36" i="1"/>
  <c r="C92" i="1"/>
  <c r="C90" i="1"/>
  <c r="C84" i="1"/>
  <c r="C23" i="1"/>
  <c r="B38" i="1"/>
  <c r="B32" i="1"/>
  <c r="B29" i="1"/>
  <c r="B84" i="1"/>
  <c r="B17" i="1"/>
  <c r="B37" i="1"/>
  <c r="B41" i="1"/>
  <c r="B70" i="1"/>
  <c r="B67" i="1"/>
  <c r="B56" i="1"/>
  <c r="B15" i="1"/>
  <c r="B47" i="1"/>
  <c r="B19" i="1"/>
  <c r="B48" i="1"/>
  <c r="B34" i="1"/>
  <c r="B53" i="1"/>
  <c r="B33" i="1"/>
  <c r="B45" i="1"/>
  <c r="B63" i="1"/>
  <c r="B72" i="1"/>
  <c r="B93" i="1"/>
  <c r="B73" i="1"/>
  <c r="B62" i="1"/>
  <c r="B25" i="1"/>
  <c r="B61" i="1"/>
  <c r="B71" i="1"/>
  <c r="B49" i="1"/>
  <c r="B28" i="1"/>
  <c r="B86" i="1"/>
  <c r="B85" i="1"/>
  <c r="B66" i="1"/>
  <c r="B58" i="1"/>
  <c r="B59" i="1"/>
  <c r="B68" i="1"/>
  <c r="B91" i="1"/>
</calcChain>
</file>

<file path=xl/sharedStrings.xml><?xml version="1.0" encoding="utf-8"?>
<sst xmlns="http://schemas.openxmlformats.org/spreadsheetml/2006/main" count="108" uniqueCount="106">
  <si>
    <t>SManager|Calibration!Name</t>
  </si>
  <si>
    <t>SManager|Datalog!FrameCount</t>
  </si>
  <si>
    <t>SManager|Sensors!Count</t>
  </si>
  <si>
    <t>File Path</t>
  </si>
  <si>
    <t>Cal Name</t>
  </si>
  <si>
    <t>Notes</t>
  </si>
  <si>
    <t>Log File</t>
  </si>
  <si>
    <t>Log File Path</t>
  </si>
  <si>
    <t>time</t>
  </si>
  <si>
    <t>rpm</t>
  </si>
  <si>
    <t>Full Cal Name</t>
  </si>
  <si>
    <t>Date</t>
  </si>
  <si>
    <t>Time</t>
  </si>
  <si>
    <t>knock</t>
  </si>
  <si>
    <t>s</t>
  </si>
  <si>
    <t>Time of Day</t>
  </si>
  <si>
    <t>hh:mm:ss.000</t>
  </si>
  <si>
    <t>Log Start Time</t>
  </si>
  <si>
    <t>timeofday</t>
  </si>
  <si>
    <t>gear</t>
  </si>
  <si>
    <t>map</t>
  </si>
  <si>
    <t>tps</t>
  </si>
  <si>
    <t>duty</t>
  </si>
  <si>
    <t>lambda</t>
  </si>
  <si>
    <t>pa</t>
  </si>
  <si>
    <t>eld</t>
  </si>
  <si>
    <t>bksw</t>
  </si>
  <si>
    <t>acsw</t>
  </si>
  <si>
    <t>psp</t>
  </si>
  <si>
    <t>vtp</t>
  </si>
  <si>
    <t>scs</t>
  </si>
  <si>
    <t>mil</t>
  </si>
  <si>
    <t>accl</t>
  </si>
  <si>
    <t>vts</t>
  </si>
  <si>
    <t>fuel</t>
  </si>
  <si>
    <t>pcs</t>
  </si>
  <si>
    <t>iab</t>
  </si>
  <si>
    <t>fanc</t>
  </si>
  <si>
    <t>altc</t>
  </si>
  <si>
    <t>nitrous1arm</t>
  </si>
  <si>
    <t>nitrous1on</t>
  </si>
  <si>
    <t>nitrous2arm</t>
  </si>
  <si>
    <t>nitrous2on</t>
  </si>
  <si>
    <t>nitrous3arm</t>
  </si>
  <si>
    <t>nitrous3on</t>
  </si>
  <si>
    <t>datalogging</t>
  </si>
  <si>
    <t>frame</t>
  </si>
  <si>
    <t>pwm</t>
  </si>
  <si>
    <t>a10</t>
  </si>
  <si>
    <t>ignitioncut</t>
  </si>
  <si>
    <t>knockretard</t>
  </si>
  <si>
    <t>knocklevel</t>
  </si>
  <si>
    <t>revlimiter</t>
  </si>
  <si>
    <t>boostcut</t>
  </si>
  <si>
    <t>launchretard</t>
  </si>
  <si>
    <t>launchcut</t>
  </si>
  <si>
    <t>shiftcut</t>
  </si>
  <si>
    <t>lambdavoltage</t>
  </si>
  <si>
    <t>tclf</t>
  </si>
  <si>
    <t>tcrf</t>
  </si>
  <si>
    <t>tclr</t>
  </si>
  <si>
    <t>tcrr</t>
  </si>
  <si>
    <t>tcslip</t>
  </si>
  <si>
    <t>tcturn</t>
  </si>
  <si>
    <t>tcout</t>
  </si>
  <si>
    <t>tcoverslip</t>
  </si>
  <si>
    <t>tcretard</t>
  </si>
  <si>
    <t>tclimit</t>
  </si>
  <si>
    <t>n</t>
  </si>
  <si>
    <t>Frame</t>
  </si>
  <si>
    <t>speed</t>
  </si>
  <si>
    <t>injector</t>
  </si>
  <si>
    <t xml:space="preserve">ignition </t>
  </si>
  <si>
    <t>ta</t>
  </si>
  <si>
    <t>tw</t>
  </si>
  <si>
    <t>shortterm</t>
  </si>
  <si>
    <t>longterm</t>
  </si>
  <si>
    <t>o2voltage</t>
  </si>
  <si>
    <t>voltage</t>
  </si>
  <si>
    <t>iatcorr</t>
  </si>
  <si>
    <t>ectcorr</t>
  </si>
  <si>
    <t>closedloop</t>
  </si>
  <si>
    <t>analog1</t>
  </si>
  <si>
    <t>analog0</t>
  </si>
  <si>
    <t>analog2</t>
  </si>
  <si>
    <t>analog3</t>
  </si>
  <si>
    <t>analog4</t>
  </si>
  <si>
    <t>analog5</t>
  </si>
  <si>
    <t>analog6</t>
  </si>
  <si>
    <t>analog7</t>
  </si>
  <si>
    <t>digital0</t>
  </si>
  <si>
    <t>digital1</t>
  </si>
  <si>
    <t>digital2</t>
  </si>
  <si>
    <t>digital3</t>
  </si>
  <si>
    <t>digital4</t>
  </si>
  <si>
    <t>digital5</t>
  </si>
  <si>
    <t>digital6</t>
  </si>
  <si>
    <t>digital7</t>
  </si>
  <si>
    <t>ethanol</t>
  </si>
  <si>
    <t>Length</t>
  </si>
  <si>
    <t>Message</t>
  </si>
  <si>
    <t>Closed Loop Active; long highway cruise</t>
  </si>
  <si>
    <t>C:\Users\adamr\Dropbox\S300 Calibrations\Cal Data\</t>
  </si>
  <si>
    <t>C:\Users\adamr\Dropbox\S300 Calibrations\ECU Data\CSV\</t>
  </si>
  <si>
    <t>ARJ_B20Z_High Comp_Crower403_370cc_0.02.15</t>
  </si>
  <si>
    <t>ARJ_B20Z_High Comp_Crower403_370cc_0.02.15-181214-1824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</si>
</sst>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mm/dd/yyyy"/>
    <numFmt numFmtId="165" formatCode="hh:mm"/>
    <numFmt numFmtId="166" formatCode="ss.000"/>
    <numFmt numFmtId="167" formatCode="h:mm:ss.000"/>
  </numFmts>
  <fonts count="14">
    <font>
      <sz val="10"/>
      <name val="Arial"/>
    </font>
    <font>
      <sz val="10"/>
      <name val="Arial Unicode MS"/>
    </font>
    <font>
      <sz val="8"/>
      <name val="Arial"/>
    </font>
    <font>
      <sz val="1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20"/>
      <color rgb="FF000000"/>
      <name val="Arial"/>
      <family val="2"/>
    </font>
    <font>
      <b/>
      <u/>
      <sz val="20"/>
      <color rgb="FF000000"/>
      <name val="Arial"/>
      <family val="2"/>
    </font>
    <font>
      <sz val="10"/>
      <color theme="0"/>
      <name val="Arial"/>
      <family val="2"/>
    </font>
    <font>
      <b/>
      <sz val="12"/>
      <color rgb="FF000000"/>
      <name val="Arial"/>
      <family val="2"/>
    </font>
    <font>
      <b/>
      <u/>
      <sz val="12"/>
      <color rgb="FF000000"/>
      <name val="Arial"/>
      <family val="2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7F7F7F"/>
      </right>
      <top style="thin">
        <color rgb="FFB2B2B2"/>
      </top>
      <bottom/>
      <diagonal/>
    </border>
    <border>
      <left style="thin">
        <color rgb="FFB2B2B2"/>
      </left>
      <right style="thin">
        <color rgb="FF7F7F7F"/>
      </right>
      <top/>
      <bottom/>
      <diagonal/>
    </border>
    <border>
      <left style="thin">
        <color rgb="FFB2B2B2"/>
      </left>
      <right style="thin">
        <color rgb="FF7F7F7F"/>
      </right>
      <top/>
      <bottom style="thin">
        <color rgb="FFB2B2B2"/>
      </bottom>
      <diagonal/>
    </border>
    <border>
      <left style="thin">
        <color rgb="FF7F7F7F"/>
      </left>
      <right/>
      <top/>
      <bottom/>
      <diagonal/>
    </border>
  </borders>
  <cellStyleXfs count="4">
    <xf numFmtId="0" fontId="0" fillId="0" borderId="0"/>
    <xf numFmtId="0" fontId="6" fillId="2" borderId="1" applyNumberFormat="0" applyAlignment="0" applyProtection="0"/>
    <xf numFmtId="0" fontId="7" fillId="3" borderId="1" applyNumberFormat="0" applyAlignment="0" applyProtection="0"/>
    <xf numFmtId="0" fontId="5" fillId="4" borderId="2" applyNumberFormat="0" applyFont="0" applyAlignment="0" applyProtection="0"/>
  </cellStyleXfs>
  <cellXfs count="31">
    <xf numFmtId="0" fontId="0" fillId="0" borderId="0" xfId="0"/>
    <xf numFmtId="0" fontId="1" fillId="0" borderId="0" xfId="0" applyFont="1"/>
    <xf numFmtId="0" fontId="3" fillId="0" borderId="0" xfId="0" applyFont="1"/>
    <xf numFmtId="0" fontId="0" fillId="0" borderId="0" xfId="0"/>
    <xf numFmtId="0" fontId="0" fillId="0" borderId="0" xfId="0"/>
    <xf numFmtId="0" fontId="3" fillId="0" borderId="0" xfId="0" applyNumberFormat="1" applyFont="1" applyAlignment="1"/>
    <xf numFmtId="14" fontId="3" fillId="0" borderId="0" xfId="0" applyNumberFormat="1" applyFont="1" applyAlignment="1"/>
    <xf numFmtId="166" fontId="0" fillId="0" borderId="0" xfId="0" applyNumberFormat="1"/>
    <xf numFmtId="167" fontId="0" fillId="0" borderId="0" xfId="0" applyNumberFormat="1"/>
    <xf numFmtId="0" fontId="0" fillId="0" borderId="0" xfId="0"/>
    <xf numFmtId="0" fontId="0" fillId="5" borderId="0" xfId="0" applyFill="1"/>
    <xf numFmtId="165" fontId="3" fillId="5" borderId="0" xfId="0" applyNumberFormat="1" applyFont="1" applyFill="1"/>
    <xf numFmtId="164" fontId="7" fillId="3" borderId="1" xfId="2" applyNumberFormat="1"/>
    <xf numFmtId="46" fontId="7" fillId="3" borderId="1" xfId="2" applyNumberFormat="1"/>
    <xf numFmtId="0" fontId="3" fillId="4" borderId="2" xfId="3" applyFont="1"/>
    <xf numFmtId="0" fontId="3" fillId="4" borderId="2" xfId="3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4" borderId="2" xfId="3" applyFont="1" applyAlignment="1">
      <alignment horizontal="left" vertical="center"/>
    </xf>
    <xf numFmtId="0" fontId="0" fillId="5" borderId="0" xfId="0" applyFill="1" applyAlignment="1">
      <alignment horizontal="left"/>
    </xf>
    <xf numFmtId="166" fontId="3" fillId="0" borderId="0" xfId="0" applyNumberFormat="1" applyFont="1"/>
    <xf numFmtId="0" fontId="13" fillId="0" borderId="0" xfId="0" applyFont="1"/>
    <xf numFmtId="0" fontId="10" fillId="5" borderId="0" xfId="0" applyFont="1" applyFill="1" applyAlignment="1">
      <alignment horizontal="center"/>
    </xf>
    <xf numFmtId="0" fontId="0" fillId="4" borderId="3" xfId="3" applyFont="1" applyBorder="1" applyAlignment="1">
      <alignment horizontal="left" vertical="center"/>
    </xf>
    <xf numFmtId="0" fontId="0" fillId="4" borderId="4" xfId="3" applyFont="1" applyBorder="1" applyAlignment="1">
      <alignment horizontal="left" vertical="center"/>
    </xf>
    <xf numFmtId="0" fontId="0" fillId="4" borderId="5" xfId="3" applyFont="1" applyBorder="1" applyAlignment="1">
      <alignment horizontal="left" vertical="center"/>
    </xf>
    <xf numFmtId="0" fontId="7" fillId="3" borderId="1" xfId="2"/>
    <xf numFmtId="0" fontId="6" fillId="2" borderId="1" xfId="1" applyAlignment="1">
      <alignment vertical="top"/>
    </xf>
    <xf numFmtId="166" fontId="7" fillId="3" borderId="1" xfId="2" applyNumberFormat="1" applyAlignment="1">
      <alignment horizontal="center"/>
    </xf>
    <xf numFmtId="0" fontId="0" fillId="5" borderId="0" xfId="0" applyFill="1" applyAlignment="1">
      <alignment horizontal="center"/>
    </xf>
    <xf numFmtId="0" fontId="7" fillId="3" borderId="6" xfId="2" applyBorder="1" applyAlignment="1">
      <alignment horizontal="center"/>
    </xf>
    <xf numFmtId="0" fontId="7" fillId="3" borderId="0" xfId="2" applyBorder="1" applyAlignment="1">
      <alignment horizontal="center"/>
    </xf>
  </cellXfs>
  <cellStyles count="4">
    <cellStyle name="Calculation" xfId="2" builtinId="22"/>
    <cellStyle name="Input" xfId="1" builtinId="20"/>
    <cellStyle name="Normal" xfId="0" builtinId="0"/>
    <cellStyle name="Note" xfId="3" builtinId="10"/>
  </cellStyles>
  <dxfs count="2">
    <dxf>
      <font>
        <color rgb="FF66FF33"/>
      </font>
      <fill>
        <patternFill>
          <bgColor rgb="FF66FF33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10" Type="http://schemas.microsoft.com/office/2006/relationships/vbaProject" Target="vbaProject.bin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15</xdr:row>
          <xdr:rowOff>95250</xdr:rowOff>
        </xdr:from>
        <xdr:to>
          <xdr:col>1</xdr:col>
          <xdr:colOff>542925</xdr:colOff>
          <xdr:row>18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866775</xdr:colOff>
          <xdr:row>15</xdr:row>
          <xdr:rowOff>104775</xdr:rowOff>
        </xdr:from>
        <xdr:to>
          <xdr:col>3</xdr:col>
          <xdr:colOff>295275</xdr:colOff>
          <xdr:row>18</xdr:row>
          <xdr:rowOff>95250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68580" rIns="82296" bIns="68580" anchor="ctr" upright="1"/>
            <a:lstStyle/>
            <a:p>
              <a:pPr algn="ctr" rtl="0">
                <a:defRPr sz="1000"/>
              </a:pP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</a:t>
              </a:r>
              <a:r>
                <a:rPr lang="en-US" sz="20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r>
                <a:rPr lang="en-US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104775</xdr:colOff>
          <xdr:row>15</xdr:row>
          <xdr:rowOff>95250</xdr:rowOff>
        </xdr:from>
        <xdr:to>
          <xdr:col>6</xdr:col>
          <xdr:colOff>104775</xdr:colOff>
          <xdr:row>18</xdr:row>
          <xdr:rowOff>95250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</a:t>
              </a: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57150</xdr:rowOff>
        </xdr:from>
        <xdr:to>
          <xdr:col>4</xdr:col>
          <xdr:colOff>247650</xdr:colOff>
          <xdr:row>2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41148" rIns="54864" bIns="41148" anchor="ctr" upright="1"/>
            <a:lstStyle/>
            <a:p>
              <a:pPr algn="ctr" rtl="0">
                <a:defRPr sz="1000"/>
              </a:pPr>
              <a:r>
                <a:rPr lang="en-US" sz="1200" b="1" i="0" u="sng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UMP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5</xdr:row>
          <xdr:rowOff>95250</xdr:rowOff>
        </xdr:from>
        <xdr:to>
          <xdr:col>7</xdr:col>
          <xdr:colOff>352425</xdr:colOff>
          <xdr:row>8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Record Data</a:t>
              </a:r>
            </a:p>
          </xdr:txBody>
        </xdr:sp>
        <xdr:clientData fPrintsWithSheet="0"/>
      </xdr:twoCellAnchor>
    </mc:Choice>
    <mc:Fallback/>
  </mc:AlternateContent>
</xdr:wsDr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Calibration">
    <ddeItems>
      <ddeItem name="Name" advise="1">
        <values>
          <value t="str">
            <val>C:\Users\adamr\Dropbox\S300 Calibrations\Cal Data\ARJ_B20Z_High Comp_Crower403_370cc_0.02.15.skl</val>
          </value>
        </values>
      </ddeItem>
      <ddeItem name="StdDocumentName" ole="1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Datalog">
    <ddeItems>
      <ddeItem name="FrameCount" advise="1"/>
      <ddeItem name="StdDocumentName" ole="1" advise="1"/>
    </ddeItems>
  </ddeLin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SManager" ddeTopic="Sensors">
    <ddeItems>
      <ddeItem name="Count" advise="1">
        <values>
          <value>
            <val>84</val>
          </value>
        </values>
      </ddeItem>
      <ddeItem name="Frame" advise="1">
        <values>
          <value>
            <val>1365</val>
          </value>
        </values>
      </ddeItem>
      <ddeItem name="Names" advise="1">
        <values rows="84">
          <value t="str">
            <val>RPM</val>
          </value>
          <value t="str">
            <val>VSS</val>
          </value>
          <value t="str">
            <val>Gear</val>
          </value>
          <value t="str">
            <val>MAP</val>
          </value>
          <value t="str">
            <val>TPS</val>
          </value>
          <value t="str">
            <val>INJ</val>
          </value>
          <value t="str">
            <val>DUTY</val>
          </value>
          <value t="str">
            <val>IGN</val>
          </value>
          <value t="str">
            <val>IAT</val>
          </value>
          <value t="str">
            <val>ECT</val>
          </value>
          <value t="str">
            <val>O2</val>
          </value>
          <value t="str">
            <val>S.TRIM</val>
          </value>
          <value t="str">
            <val>L.TRIM</val>
          </value>
          <value t="str">
            <val>Lambda</val>
          </value>
          <value t="str">
            <val>Knock Retard</val>
          </value>
          <value t="str">
            <val>Knock Level</val>
          </value>
          <value t="str">
            <val>PA</val>
          </value>
          <value t="str">
            <val>BAT</val>
          </value>
          <value t="str">
            <val>ELD</val>
          </value>
          <value t="str">
            <val>Rev Limiter</val>
          </value>
          <value t="str">
            <val>Ignition Cut</val>
          </value>
          <value t="str">
            <val>Boost Cut</val>
          </value>
          <value t="str">
            <val>Launch Retard</val>
          </value>
          <value t="str">
            <val>Launch Cut</val>
          </value>
          <value t="str">
            <val>Shift Cut</val>
          </value>
          <value t="str">
            <val>BKSW</val>
          </value>
          <value t="str">
            <val>ACSW</val>
          </value>
          <value t="str">
            <val>PSP</val>
          </value>
          <value t="str">
            <val>VTP</val>
          </value>
          <value t="str">
            <val>SCS</val>
          </value>
          <value t="str">
            <val>MIL</val>
          </value>
          <value t="str">
            <val>ACCL</val>
          </value>
          <value t="str">
            <val>VTS</val>
          </value>
          <value t="str">
            <val>Fuel</val>
          </value>
          <value t="str">
            <val>PCS</val>
          </value>
          <value t="str">
            <val>IAB</val>
          </value>
          <value t="str">
            <val>FANC</val>
          </value>
          <value t="str">
            <val>ALTC</val>
          </value>
          <value t="str">
            <val>Nitrous1Arm</val>
          </value>
          <value t="str">
            <val>Nitrous1On</val>
          </value>
          <value t="str">
            <val>Nitrous2Arm</val>
          </value>
          <value t="str">
            <val>Nitrous2On</val>
          </value>
          <value t="str">
            <val>Nitrous3Arm</val>
          </value>
          <value t="str">
            <val>Nitrous3On</val>
          </value>
          <value t="str">
            <val>Datalogging</val>
          </value>
          <value t="str">
            <val>Frame</val>
          </value>
          <value t="str">
            <val>IAT.c</val>
          </value>
          <value t="str">
            <val>ECT.c</val>
          </value>
          <value t="str">
            <val>CL</val>
          </value>
          <value t="str">
            <val>PWM</val>
          </value>
          <value t="str">
            <val>Lambda</val>
          </value>
          <value t="str">
            <val>knock</val>
          </value>
          <value t="str">
            <val>A10</val>
          </value>
          <value t="str">
            <val>Lambda Voltage</val>
          </value>
          <value t="str">
            <val>AN0</val>
          </value>
          <value t="str">
            <val>AN1</val>
          </value>
          <value t="str">
            <val>AN2</val>
          </value>
          <value t="str">
            <val>AN3</val>
          </value>
          <value t="str">
            <val>AN4</val>
          </value>
          <value t="str">
            <val>AN5</val>
          </value>
          <value t="str">
            <val>AN6</val>
          </value>
          <value t="str">
            <val>AN7</val>
          </value>
          <value t="str">
            <val>DI0</val>
          </value>
          <value t="str">
            <val>DI1</val>
          </value>
          <value t="str">
            <val>DI2</val>
          </value>
          <value t="str">
            <val>DI3</val>
          </value>
          <value t="str">
            <val>DI4</val>
          </value>
          <value t="str">
            <val>DI5</val>
          </value>
          <value t="str">
            <val>DI6</val>
          </value>
          <value t="str">
            <val>DI7</val>
          </value>
          <value t="str">
            <val>TC LF</val>
          </value>
          <value t="str">
            <val>TC RF</val>
          </value>
          <value t="str">
            <val>TC LR</val>
          </value>
          <value t="str">
            <val>TC RR</val>
          </value>
          <value t="str">
            <val>TC Slip</val>
          </value>
          <value t="str">
            <val>TC Turn</val>
          </value>
          <value t="str">
            <val>TC Out</val>
          </value>
          <value t="str">
            <val>TC Over Slip</val>
          </value>
          <value t="str">
            <val>TC Retard</val>
          </value>
          <value t="str">
            <val>TC Limit</val>
          </value>
          <value t="str">
            <val>Eth.%</val>
          </value>
          <value t="str">
            <val>Fuel.T</val>
          </value>
          <value t="str">
            <val>Secondary Tables</val>
          </value>
          <value t="str">
            <val>Secondary Injectors</val>
          </value>
        </values>
      </ddeItem>
      <ddeItem name="StdDocumentName" ole="1" advise="1"/>
      <ddeItem name="Units" advise="1">
        <values rows="84">
          <value t="str">
            <val>rpm</val>
          </value>
          <value t="str">
            <val>mph</val>
          </value>
          <value t="nil">
            <val>1</val>
          </value>
          <value t="str">
            <val>mbar</val>
          </value>
          <value t="str">
            <val>%</val>
          </value>
          <value t="str">
            <val>ms</val>
          </value>
          <value t="str">
            <val>%</val>
          </value>
          <value t="str">
            <val>°</val>
          </value>
          <value t="str">
            <val>° F</val>
          </value>
          <value t="str">
            <val>° F</val>
          </value>
          <value t="str">
            <val>V</val>
          </value>
          <value t="str">
            <val>%</val>
          </value>
          <value t="str">
            <val>%</val>
          </value>
          <value t="nil">
            <val>1</val>
          </value>
          <value t="str">
            <val>°</val>
          </value>
          <value t="str">
            <val>V</val>
          </value>
          <value t="str">
            <val>mbar</val>
          </value>
          <value t="str">
            <val>V</val>
          </value>
          <value t="str">
            <val>V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nil">
            <val>1</val>
          </value>
          <value t="str">
            <val>%</val>
          </value>
          <value t="str">
            <val>%</val>
          </value>
          <value t="nil">
            <val>1</val>
          </value>
          <value t="str">
            <val>%</val>
          </value>
          <value t="nil">
            <val>1</val>
          </value>
          <value t="nil">
            <val>1</val>
          </value>
          <value t="nil">
            <val>1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V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mph</val>
          </value>
          <value t="str">
            <val>%</val>
          </value>
          <value t="str">
            <val>%</val>
          </value>
          <value t="str">
            <val>V</val>
          </value>
          <value t="str">
            <val>%</val>
          </value>
          <value t="str">
            <val>°</val>
          </value>
          <value t="str">
            <val>%</val>
          </value>
          <value t="str">
            <val>%</val>
          </value>
          <value t="str">
            <val>° F</val>
          </value>
          <value t="nil">
            <val>1</val>
          </value>
          <value t="nil">
            <val>1</val>
          </value>
        </values>
      </ddeItem>
      <ddeItem name="Values" advise="1">
        <values rows="84">
          <value>
            <val>811</val>
          </value>
          <value>
            <val>0</val>
          </value>
          <value>
            <val>1</val>
          </value>
          <value>
            <val>356</val>
          </value>
          <value>
            <val>0</val>
          </value>
          <value>
            <val>2.52</val>
          </value>
          <value>
            <val>1</val>
          </value>
          <value>
            <val>19</val>
          </value>
          <value>
            <val>108.2</val>
          </value>
          <value>
            <val>185.5</val>
          </value>
          <value>
            <val>0.94</val>
          </value>
          <value>
            <val>0</val>
          </value>
          <value>
            <val>0</val>
          </value>
          <value>
            <val>1.01</val>
          </value>
          <value>
            <val>0</val>
          </value>
          <value>
            <val>5</val>
          </value>
          <value>
            <val>1008</val>
          </value>
          <value>
            <val>14.16</val>
          </value>
          <value>
            <val>2.62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On</val>
          </value>
          <value t="str">
            <val>Off</val>
          </value>
          <value t="str">
            <val>Off</val>
          </value>
          <value t="str">
            <val>On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On</val>
          </value>
          <value t="str">
            <val>On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 t="str">
            <val>Off</val>
          </value>
          <value>
            <val>1365</val>
          </value>
          <value>
            <val>0</val>
          </value>
          <value>
            <val>0</val>
          </value>
          <value t="str">
            <val>Off</val>
          </value>
          <value>
            <val>0</val>
          </value>
          <value>
            <val>1</val>
          </value>
          <value>
            <val>0</val>
          </value>
          <value t="str">
            <val>Off</val>
          </value>
          <value>
            <val>2.4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0</val>
          </value>
          <value>
            <val>32</val>
          </value>
          <value t="str">
            <val>Off</val>
          </value>
          <value t="str">
            <val>Off</val>
          </value>
        </values>
      </ddeItem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L19"/>
  <sheetViews>
    <sheetView tabSelected="1" zoomScale="113" workbookViewId="0">
      <selection activeCell="K24" sqref="K24"/>
    </sheetView>
  </sheetViews>
  <sheetFormatPr defaultColWidth="9.1328125" defaultRowHeight="12.75"/>
  <cols>
    <col min="1" max="1" width="12.86328125" style="10" customWidth="1"/>
    <col min="2" max="2" width="19.86328125" style="10" customWidth="1"/>
    <col min="3" max="16384" width="9.1328125" style="10"/>
  </cols>
  <sheetData>
    <row r="1" spans="1:12" ht="14.25">
      <c r="A1" s="15" t="s">
        <v>11</v>
      </c>
      <c r="B1" s="12">
        <v>43448</v>
      </c>
      <c r="D1" s="14" t="s">
        <v>99</v>
      </c>
      <c r="E1" s="27">
        <v>2018.2265625</v>
      </c>
      <c r="F1" s="27"/>
      <c r="G1" s="14" t="s">
        <v>100</v>
      </c>
      <c r="H1" s="29"/>
      <c r="I1" s="30"/>
      <c r="J1" s="30"/>
    </row>
    <row r="2" spans="1:12" ht="14.25">
      <c r="A2" s="15" t="s">
        <v>17</v>
      </c>
      <c r="B2" s="13">
        <v>0.76666666666666661</v>
      </c>
    </row>
    <row r="3" spans="1:12">
      <c r="A3" s="16"/>
      <c r="B3" s="11"/>
    </row>
    <row r="4" spans="1:12" ht="14.25">
      <c r="A4" s="15" t="s">
        <v>10</v>
      </c>
      <c r="B4" s="25" t="str">
        <f>[1]!Name</f>
        <v>C:\Users\adamr\Dropbox\S300 Calibrations\Cal Data\ARJ_B20Z_High Comp_Crower403_370cc_0.02.15.skl</v>
      </c>
      <c r="C4" s="25"/>
      <c r="D4" s="25"/>
      <c r="E4" s="25"/>
      <c r="F4" s="25"/>
      <c r="G4" s="25"/>
      <c r="H4" s="25"/>
      <c r="I4" s="25"/>
      <c r="J4" s="25"/>
      <c r="K4" s="25"/>
      <c r="L4" s="25"/>
    </row>
    <row r="5" spans="1:12">
      <c r="A5" s="16"/>
    </row>
    <row r="6" spans="1:12" ht="14.25">
      <c r="A6" s="17" t="s">
        <v>3</v>
      </c>
      <c r="B6" s="25" t="s">
        <v>102</v>
      </c>
      <c r="C6" s="25"/>
      <c r="D6" s="25"/>
      <c r="E6" s="25"/>
      <c r="F6" s="25"/>
      <c r="G6" s="25"/>
      <c r="H6" s="25"/>
      <c r="I6" s="25"/>
      <c r="J6" s="25"/>
      <c r="K6" s="25"/>
      <c r="L6" s="25"/>
    </row>
    <row r="7" spans="1:12" ht="14.25">
      <c r="A7" s="17" t="s">
        <v>4</v>
      </c>
      <c r="B7" s="25" t="s">
        <v>104</v>
      </c>
      <c r="C7" s="25"/>
      <c r="D7" s="25"/>
      <c r="E7" s="25"/>
      <c r="F7" s="25"/>
      <c r="G7" s="25"/>
      <c r="H7" s="25"/>
      <c r="I7" s="25"/>
      <c r="J7" s="25"/>
      <c r="K7" s="25"/>
      <c r="L7" s="25"/>
    </row>
    <row r="8" spans="1:12">
      <c r="A8" s="18"/>
      <c r="B8" s="28"/>
      <c r="C8" s="28"/>
      <c r="D8" s="28"/>
      <c r="E8" s="28"/>
      <c r="F8" s="28"/>
      <c r="G8" s="28"/>
      <c r="H8" s="28"/>
      <c r="I8" s="28"/>
      <c r="J8" s="28"/>
      <c r="K8" s="28"/>
      <c r="L8" s="28"/>
    </row>
    <row r="9" spans="1:12">
      <c r="A9" s="22" t="s">
        <v>5</v>
      </c>
      <c r="B9" s="26" t="s">
        <v>101</v>
      </c>
      <c r="C9" s="26"/>
      <c r="D9" s="26"/>
      <c r="E9" s="26"/>
      <c r="F9" s="26"/>
      <c r="G9" s="26"/>
      <c r="H9" s="26"/>
      <c r="I9" s="26"/>
      <c r="J9" s="26"/>
      <c r="K9" s="26"/>
      <c r="L9" s="26"/>
    </row>
    <row r="10" spans="1:12">
      <c r="A10" s="23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</row>
    <row r="11" spans="1:12">
      <c r="A11" s="23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</row>
    <row r="12" spans="1:12">
      <c r="A12" s="24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</row>
    <row r="14" spans="1:12" ht="14.25">
      <c r="A14" s="14" t="s">
        <v>7</v>
      </c>
      <c r="B14" s="25" t="s">
        <v>103</v>
      </c>
      <c r="C14" s="25"/>
      <c r="D14" s="25"/>
      <c r="E14" s="25"/>
      <c r="F14" s="25"/>
      <c r="G14" s="25"/>
      <c r="H14" s="25"/>
      <c r="I14" s="25"/>
      <c r="J14" s="25"/>
      <c r="K14" s="25"/>
      <c r="L14" s="25"/>
    </row>
    <row r="15" spans="1:12" ht="14.25">
      <c r="A15" s="14" t="s">
        <v>6</v>
      </c>
      <c r="B15" s="25" t="s">
        <v>105</v>
      </c>
      <c r="C15" s="25"/>
      <c r="D15" s="25"/>
      <c r="E15" s="25"/>
      <c r="F15" s="25"/>
      <c r="G15" s="25"/>
      <c r="H15" s="25"/>
      <c r="I15" s="25"/>
      <c r="J15" s="25"/>
      <c r="K15" s="25"/>
      <c r="L15" s="25"/>
    </row>
    <row r="16" spans="1:12">
      <c r="A16" s="21" t="b">
        <v>1</v>
      </c>
      <c r="B16" s="21"/>
      <c r="C16" s="21"/>
      <c r="D16" s="21"/>
    </row>
    <row r="17" spans="1:4">
      <c r="A17" s="21"/>
      <c r="B17" s="21"/>
      <c r="C17" s="21"/>
      <c r="D17" s="21"/>
    </row>
    <row r="18" spans="1:4">
      <c r="A18" s="21"/>
      <c r="B18" s="21"/>
      <c r="C18" s="21"/>
      <c r="D18" s="21"/>
    </row>
    <row r="19" spans="1:4">
      <c r="A19" s="21"/>
      <c r="B19" s="21"/>
      <c r="C19" s="21"/>
      <c r="D19" s="21"/>
    </row>
  </sheetData>
  <mergeCells count="11">
    <mergeCell ref="E1:F1"/>
    <mergeCell ref="B4:L4"/>
    <mergeCell ref="B6:L6"/>
    <mergeCell ref="B7:L7"/>
    <mergeCell ref="B8:L8"/>
    <mergeCell ref="H1:J1"/>
    <mergeCell ref="A16:D19"/>
    <mergeCell ref="A9:A12"/>
    <mergeCell ref="B15:L15"/>
    <mergeCell ref="B14:L14"/>
    <mergeCell ref="B9:L12"/>
  </mergeCells>
  <conditionalFormatting sqref="A16">
    <cfRule type="cellIs" dxfId="1" priority="1" stopIfTrue="1" operator="equal">
      <formula>FALSE</formula>
    </cfRule>
    <cfRule type="cellIs" dxfId="0" priority="2" operator="equal">
      <formula>TRUE</formula>
    </cfRule>
  </conditionalFormatting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arseCSV">
                <anchor moveWithCells="1" sizeWithCells="1">
                  <from>
                    <xdr:col>0</xdr:col>
                    <xdr:colOff>38100</xdr:colOff>
                    <xdr:row>15</xdr:row>
                    <xdr:rowOff>95250</xdr:rowOff>
                  </from>
                  <to>
                    <xdr:col>1</xdr:col>
                    <xdr:colOff>542925</xdr:colOff>
                    <xdr:row>18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stopRecord">
                <anchor moveWithCells="1" sizeWithCells="1">
                  <from>
                    <xdr:col>1</xdr:col>
                    <xdr:colOff>866775</xdr:colOff>
                    <xdr:row>15</xdr:row>
                    <xdr:rowOff>104775</xdr:rowOff>
                  </from>
                  <to>
                    <xdr:col>3</xdr:col>
                    <xdr:colOff>295275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freshLinks">
                <anchor moveWithCells="1" sizeWithCells="1">
                  <from>
                    <xdr:col>4</xdr:col>
                    <xdr:colOff>104775</xdr:colOff>
                    <xdr:row>15</xdr:row>
                    <xdr:rowOff>95250</xdr:rowOff>
                  </from>
                  <to>
                    <xdr:col>6</xdr:col>
                    <xdr:colOff>104775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watchData">
                <anchor moveWithCells="1" sizeWithCells="1">
                  <from>
                    <xdr:col>3</xdr:col>
                    <xdr:colOff>28575</xdr:colOff>
                    <xdr:row>1</xdr:row>
                    <xdr:rowOff>57150</xdr:rowOff>
                  </from>
                  <to>
                    <xdr:col>4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2:J94"/>
  <sheetViews>
    <sheetView workbookViewId="0">
      <selection activeCell="C11" sqref="C11"/>
    </sheetView>
  </sheetViews>
  <sheetFormatPr defaultRowHeight="12.75"/>
  <cols>
    <col min="1" max="1" width="17.1328125" customWidth="1"/>
    <col min="2" max="2" width="13.1328125" customWidth="1"/>
    <col min="3" max="3" width="18" customWidth="1"/>
    <col min="6" max="7" width="15" bestFit="1" customWidth="1"/>
  </cols>
  <sheetData>
    <row r="2" spans="1:10">
      <c r="A2" t="s">
        <v>0</v>
      </c>
      <c r="I2" s="6" t="str">
        <f>"Export of " &amp; range_LogFileName</f>
        <v>Export of ARJ_B20Z_High Comp_Crower403_370cc_0.02.15-181214-1824</v>
      </c>
    </row>
    <row r="3" spans="1:10">
      <c r="A3" t="str">
        <f>[1]!Name</f>
        <v>C:\Users\adamr\Dropbox\S300 Calibrations\Cal Data\ARJ_B20Z_High Comp_Crower403_370cc_0.02.15.skl</v>
      </c>
      <c r="I3" s="5" t="str">
        <f>range_Notes</f>
        <v>Closed Loop Active; long highway cruise</v>
      </c>
    </row>
    <row r="4" spans="1:10">
      <c r="I4" s="5" t="e">
        <f>"Number of frames: " &amp; [2]!FrameCount</f>
        <v>#N/A</v>
      </c>
    </row>
    <row r="5" spans="1:10">
      <c r="A5" t="s">
        <v>1</v>
      </c>
      <c r="I5" s="5" t="str">
        <f>"Length: "</f>
        <v xml:space="preserve">Length: </v>
      </c>
    </row>
    <row r="6" spans="1:10">
      <c r="A6" t="e">
        <f>[2]!FrameCount</f>
        <v>#N/A</v>
      </c>
    </row>
    <row r="8" spans="1:10">
      <c r="A8" t="s">
        <v>2</v>
      </c>
    </row>
    <row r="9" spans="1:10">
      <c r="A9">
        <f>[3]!Count</f>
        <v>84</v>
      </c>
    </row>
    <row r="10" spans="1:10">
      <c r="A10" s="1"/>
    </row>
    <row r="11" spans="1:10" s="9" customFormat="1">
      <c r="A11" s="1" t="s">
        <v>46</v>
      </c>
      <c r="B11" s="2" t="s">
        <v>68</v>
      </c>
      <c r="C11" s="9">
        <f>[3]!Frame</f>
        <v>1365</v>
      </c>
      <c r="D11" s="2" t="s">
        <v>69</v>
      </c>
    </row>
    <row r="12" spans="1:10" s="4" customFormat="1">
      <c r="A12" s="2" t="s">
        <v>18</v>
      </c>
      <c r="B12" s="2" t="s">
        <v>16</v>
      </c>
      <c r="C12" s="8">
        <v>43448.790243055555</v>
      </c>
      <c r="D12" s="2" t="s">
        <v>15</v>
      </c>
      <c r="E12" s="2"/>
      <c r="F12" s="2"/>
      <c r="G12" s="2"/>
    </row>
    <row r="13" spans="1:10" s="9" customFormat="1">
      <c r="A13" s="1" t="s">
        <v>8</v>
      </c>
      <c r="B13" s="2" t="s">
        <v>14</v>
      </c>
      <c r="C13" s="19">
        <v>2018.2265625</v>
      </c>
      <c r="D13" s="1" t="s">
        <v>12</v>
      </c>
      <c r="E13" s="2"/>
      <c r="F13" s="2"/>
      <c r="G13" s="2"/>
    </row>
    <row r="14" spans="1:10">
      <c r="A14" s="2" t="s">
        <v>9</v>
      </c>
      <c r="B14" t="str">
        <f t="array" ref="B14:B94">[3]!Units</f>
        <v>rpm</v>
      </c>
      <c r="C14">
        <f t="array" ref="C14:C94">[3]!Values</f>
        <v>811</v>
      </c>
      <c r="D14" s="9" t="str">
        <f t="array" ref="D14:D94">[3]!Names</f>
        <v>RPM</v>
      </c>
      <c r="E14" s="2"/>
      <c r="F14" s="2"/>
      <c r="G14" s="2"/>
    </row>
    <row r="15" spans="1:10">
      <c r="A15" s="1" t="s">
        <v>70</v>
      </c>
      <c r="B15" t="str">
        <v>mph</v>
      </c>
      <c r="C15">
        <v>0</v>
      </c>
      <c r="D15" s="9" t="str">
        <v>VSS</v>
      </c>
      <c r="E15" s="4"/>
      <c r="F15" s="8"/>
      <c r="G15" s="7"/>
      <c r="J15" s="2"/>
    </row>
    <row r="16" spans="1:10">
      <c r="A16" s="1" t="s">
        <v>19</v>
      </c>
      <c r="B16">
        <v>0</v>
      </c>
      <c r="C16">
        <v>1</v>
      </c>
      <c r="D16" s="9" t="str">
        <v>Gear</v>
      </c>
      <c r="E16" s="3"/>
      <c r="G16" s="2"/>
    </row>
    <row r="17" spans="1:7" ht="13.15">
      <c r="A17" s="1" t="s">
        <v>20</v>
      </c>
      <c r="B17" t="str">
        <v>mbar</v>
      </c>
      <c r="C17">
        <v>356</v>
      </c>
      <c r="D17" s="9" t="str">
        <v>MAP</v>
      </c>
      <c r="E17" s="3"/>
      <c r="F17" s="20"/>
      <c r="G17" s="2"/>
    </row>
    <row r="18" spans="1:7">
      <c r="A18" s="1" t="s">
        <v>21</v>
      </c>
      <c r="B18" t="str">
        <v>%</v>
      </c>
      <c r="C18">
        <v>0</v>
      </c>
      <c r="D18" s="9" t="str">
        <v>TPS</v>
      </c>
      <c r="E18" s="3"/>
      <c r="G18" s="2"/>
    </row>
    <row r="19" spans="1:7">
      <c r="A19" s="1" t="s">
        <v>71</v>
      </c>
      <c r="B19" t="str">
        <v>ms</v>
      </c>
      <c r="C19">
        <v>2.52</v>
      </c>
      <c r="D19" s="9" t="str">
        <v>INJ</v>
      </c>
      <c r="E19" s="3"/>
      <c r="G19" s="2"/>
    </row>
    <row r="20" spans="1:7">
      <c r="A20" s="1" t="s">
        <v>22</v>
      </c>
      <c r="B20" t="str">
        <v>%</v>
      </c>
      <c r="C20">
        <v>1</v>
      </c>
      <c r="D20" s="9" t="str">
        <v>DUTY</v>
      </c>
      <c r="E20" s="3"/>
      <c r="G20" s="2"/>
    </row>
    <row r="21" spans="1:7">
      <c r="A21" s="1" t="s">
        <v>72</v>
      </c>
      <c r="B21" t="str">
        <v>°</v>
      </c>
      <c r="C21">
        <v>19</v>
      </c>
      <c r="D21" s="9" t="str">
        <v>IGN</v>
      </c>
      <c r="E21" s="3"/>
      <c r="G21" s="2"/>
    </row>
    <row r="22" spans="1:7">
      <c r="A22" s="1" t="s">
        <v>73</v>
      </c>
      <c r="B22" t="str">
        <v>° F</v>
      </c>
      <c r="C22">
        <v>108.2</v>
      </c>
      <c r="D22" s="9" t="str">
        <v>IAT</v>
      </c>
      <c r="E22" s="3"/>
      <c r="G22" s="2"/>
    </row>
    <row r="23" spans="1:7">
      <c r="A23" s="1" t="s">
        <v>74</v>
      </c>
      <c r="B23" t="str">
        <v>° F</v>
      </c>
      <c r="C23">
        <v>185.5</v>
      </c>
      <c r="D23" s="9" t="str">
        <v>ECT</v>
      </c>
      <c r="E23" s="3"/>
      <c r="G23" s="2"/>
    </row>
    <row r="24" spans="1:7">
      <c r="A24" s="1" t="s">
        <v>77</v>
      </c>
      <c r="B24" t="str">
        <v>V</v>
      </c>
      <c r="C24">
        <v>0.94</v>
      </c>
      <c r="D24" s="9" t="str">
        <v>O2</v>
      </c>
      <c r="E24" s="3"/>
      <c r="G24" s="2"/>
    </row>
    <row r="25" spans="1:7">
      <c r="A25" s="1" t="s">
        <v>75</v>
      </c>
      <c r="B25" t="str">
        <v>%</v>
      </c>
      <c r="C25">
        <v>0</v>
      </c>
      <c r="D25" s="9" t="str">
        <v>S.TRIM</v>
      </c>
      <c r="E25" s="3"/>
      <c r="G25" s="2"/>
    </row>
    <row r="26" spans="1:7">
      <c r="A26" s="1" t="s">
        <v>76</v>
      </c>
      <c r="B26" t="str">
        <v>%</v>
      </c>
      <c r="C26">
        <v>0</v>
      </c>
      <c r="D26" s="9" t="str">
        <v>L.TRIM</v>
      </c>
      <c r="E26" s="3"/>
      <c r="G26" s="2"/>
    </row>
    <row r="27" spans="1:7">
      <c r="A27" s="1" t="s">
        <v>23</v>
      </c>
      <c r="B27">
        <v>0</v>
      </c>
      <c r="C27">
        <v>1.01</v>
      </c>
      <c r="D27" s="9" t="str">
        <v>Lambda</v>
      </c>
      <c r="E27" s="3"/>
      <c r="G27" s="2"/>
    </row>
    <row r="28" spans="1:7">
      <c r="A28" s="1" t="s">
        <v>50</v>
      </c>
      <c r="B28" t="str">
        <v>°</v>
      </c>
      <c r="C28">
        <v>0</v>
      </c>
      <c r="D28" s="9" t="str">
        <v>Knock Retard</v>
      </c>
      <c r="E28" s="3"/>
      <c r="G28" s="2"/>
    </row>
    <row r="29" spans="1:7">
      <c r="A29" s="1" t="s">
        <v>51</v>
      </c>
      <c r="B29" t="str">
        <v>V</v>
      </c>
      <c r="C29">
        <v>5</v>
      </c>
      <c r="D29" s="9" t="str">
        <v>Knock Level</v>
      </c>
      <c r="E29" s="3"/>
      <c r="G29" s="2"/>
    </row>
    <row r="30" spans="1:7">
      <c r="A30" s="1" t="s">
        <v>24</v>
      </c>
      <c r="B30" t="str">
        <v>mbar</v>
      </c>
      <c r="C30">
        <v>1008</v>
      </c>
      <c r="D30" s="9" t="str">
        <v>PA</v>
      </c>
      <c r="E30" s="3"/>
      <c r="G30" s="2"/>
    </row>
    <row r="31" spans="1:7">
      <c r="A31" s="1" t="s">
        <v>78</v>
      </c>
      <c r="B31" t="str">
        <v>V</v>
      </c>
      <c r="C31">
        <v>14.16</v>
      </c>
      <c r="D31" s="9" t="str">
        <v>BAT</v>
      </c>
      <c r="E31" s="3"/>
      <c r="G31" s="2"/>
    </row>
    <row r="32" spans="1:7">
      <c r="A32" s="1" t="s">
        <v>25</v>
      </c>
      <c r="B32" t="str">
        <v>V</v>
      </c>
      <c r="C32">
        <v>2.62</v>
      </c>
      <c r="D32" s="9" t="str">
        <v>ELD</v>
      </c>
      <c r="E32" s="3"/>
      <c r="G32" s="4"/>
    </row>
    <row r="33" spans="1:7">
      <c r="A33" s="1" t="s">
        <v>52</v>
      </c>
      <c r="B33">
        <v>0</v>
      </c>
      <c r="C33" t="str">
        <v>Off</v>
      </c>
      <c r="D33" s="9" t="str">
        <v>Rev Limiter</v>
      </c>
      <c r="E33" s="3"/>
      <c r="G33" s="4"/>
    </row>
    <row r="34" spans="1:7">
      <c r="A34" s="1" t="s">
        <v>49</v>
      </c>
      <c r="B34">
        <v>0</v>
      </c>
      <c r="C34" t="str">
        <v>Off</v>
      </c>
      <c r="D34" s="9" t="str">
        <v>Ignition Cut</v>
      </c>
      <c r="E34" s="3"/>
      <c r="G34" s="4"/>
    </row>
    <row r="35" spans="1:7">
      <c r="A35" s="1" t="s">
        <v>53</v>
      </c>
      <c r="B35">
        <v>0</v>
      </c>
      <c r="C35" t="str">
        <v>Off</v>
      </c>
      <c r="D35" s="9" t="str">
        <v>Boost Cut</v>
      </c>
      <c r="E35" s="3"/>
      <c r="G35" s="4"/>
    </row>
    <row r="36" spans="1:7">
      <c r="A36" s="1" t="s">
        <v>54</v>
      </c>
      <c r="B36">
        <v>0</v>
      </c>
      <c r="C36" t="str">
        <v>Off</v>
      </c>
      <c r="D36" s="9" t="str">
        <v>Launch Retard</v>
      </c>
      <c r="E36" s="3"/>
      <c r="G36" s="4"/>
    </row>
    <row r="37" spans="1:7">
      <c r="A37" s="1" t="s">
        <v>55</v>
      </c>
      <c r="B37">
        <v>0</v>
      </c>
      <c r="C37" t="str">
        <v>Off</v>
      </c>
      <c r="D37" s="9" t="str">
        <v>Launch Cut</v>
      </c>
      <c r="E37" s="3"/>
      <c r="G37" s="4"/>
    </row>
    <row r="38" spans="1:7">
      <c r="A38" s="1" t="s">
        <v>56</v>
      </c>
      <c r="B38">
        <v>0</v>
      </c>
      <c r="C38" t="str">
        <v>Off</v>
      </c>
      <c r="D38" s="9" t="str">
        <v>Shift Cut</v>
      </c>
      <c r="E38" s="3"/>
      <c r="G38" s="4"/>
    </row>
    <row r="39" spans="1:7">
      <c r="A39" s="1" t="s">
        <v>26</v>
      </c>
      <c r="B39">
        <v>0</v>
      </c>
      <c r="C39" t="str">
        <v>On</v>
      </c>
      <c r="D39" s="9" t="str">
        <v>BKSW</v>
      </c>
      <c r="E39" s="3"/>
      <c r="G39" s="4"/>
    </row>
    <row r="40" spans="1:7">
      <c r="A40" s="1" t="s">
        <v>27</v>
      </c>
      <c r="B40">
        <v>0</v>
      </c>
      <c r="C40" t="str">
        <v>Off</v>
      </c>
      <c r="D40" s="9" t="str">
        <v>ACSW</v>
      </c>
      <c r="E40" s="3"/>
      <c r="G40" s="4"/>
    </row>
    <row r="41" spans="1:7">
      <c r="A41" s="1" t="s">
        <v>28</v>
      </c>
      <c r="B41">
        <v>0</v>
      </c>
      <c r="C41" t="str">
        <v>Off</v>
      </c>
      <c r="D41" s="9" t="str">
        <v>PSP</v>
      </c>
      <c r="E41" s="3"/>
      <c r="G41" s="4"/>
    </row>
    <row r="42" spans="1:7">
      <c r="A42" s="1" t="s">
        <v>29</v>
      </c>
      <c r="B42">
        <v>0</v>
      </c>
      <c r="C42" t="str">
        <v>On</v>
      </c>
      <c r="D42" s="9" t="str">
        <v>VTP</v>
      </c>
      <c r="E42" s="3"/>
      <c r="G42" s="4"/>
    </row>
    <row r="43" spans="1:7">
      <c r="A43" s="1" t="s">
        <v>30</v>
      </c>
      <c r="B43">
        <v>0</v>
      </c>
      <c r="C43" t="str">
        <v>Off</v>
      </c>
      <c r="D43" s="9" t="str">
        <v>SCS</v>
      </c>
      <c r="E43" s="3"/>
      <c r="G43" s="4"/>
    </row>
    <row r="44" spans="1:7">
      <c r="A44" s="1" t="s">
        <v>31</v>
      </c>
      <c r="B44">
        <v>0</v>
      </c>
      <c r="C44" t="str">
        <v>Off</v>
      </c>
      <c r="D44" s="9" t="str">
        <v>MIL</v>
      </c>
      <c r="E44" s="3"/>
    </row>
    <row r="45" spans="1:7">
      <c r="A45" s="1" t="s">
        <v>32</v>
      </c>
      <c r="B45">
        <v>0</v>
      </c>
      <c r="C45" t="str">
        <v>Off</v>
      </c>
      <c r="D45" s="9" t="str">
        <v>ACCL</v>
      </c>
      <c r="E45" s="3"/>
    </row>
    <row r="46" spans="1:7">
      <c r="A46" s="1" t="s">
        <v>33</v>
      </c>
      <c r="B46">
        <v>0</v>
      </c>
      <c r="C46" t="str">
        <v>Off</v>
      </c>
      <c r="D46" s="9" t="str">
        <v>VTS</v>
      </c>
      <c r="E46" s="3"/>
    </row>
    <row r="47" spans="1:7">
      <c r="A47" s="1" t="s">
        <v>34</v>
      </c>
      <c r="B47">
        <v>0</v>
      </c>
      <c r="C47" t="str">
        <v>On</v>
      </c>
      <c r="D47" s="9" t="str">
        <v>Fuel</v>
      </c>
      <c r="E47" s="3"/>
    </row>
    <row r="48" spans="1:7">
      <c r="A48" s="1" t="s">
        <v>35</v>
      </c>
      <c r="B48">
        <v>0</v>
      </c>
      <c r="C48" t="str">
        <v>On</v>
      </c>
      <c r="D48" s="9" t="str">
        <v>PCS</v>
      </c>
      <c r="E48" s="3"/>
    </row>
    <row r="49" spans="1:5">
      <c r="A49" s="1" t="s">
        <v>36</v>
      </c>
      <c r="B49">
        <v>0</v>
      </c>
      <c r="C49" t="str">
        <v>Off</v>
      </c>
      <c r="D49" s="9" t="str">
        <v>IAB</v>
      </c>
      <c r="E49" s="3"/>
    </row>
    <row r="50" spans="1:5">
      <c r="A50" s="1" t="s">
        <v>37</v>
      </c>
      <c r="B50">
        <v>0</v>
      </c>
      <c r="C50" t="str">
        <v>Off</v>
      </c>
      <c r="D50" s="9" t="str">
        <v>FANC</v>
      </c>
      <c r="E50" s="3"/>
    </row>
    <row r="51" spans="1:5">
      <c r="A51" s="1" t="s">
        <v>38</v>
      </c>
      <c r="B51">
        <v>0</v>
      </c>
      <c r="C51" t="str">
        <v>Off</v>
      </c>
      <c r="D51" s="9" t="str">
        <v>ALTC</v>
      </c>
      <c r="E51" s="3"/>
    </row>
    <row r="52" spans="1:5">
      <c r="A52" s="1" t="s">
        <v>39</v>
      </c>
      <c r="B52">
        <v>0</v>
      </c>
      <c r="C52" t="str">
        <v>Off</v>
      </c>
      <c r="D52" s="9" t="str">
        <v>Nitrous1Arm</v>
      </c>
      <c r="E52" s="3"/>
    </row>
    <row r="53" spans="1:5">
      <c r="A53" s="1" t="s">
        <v>40</v>
      </c>
      <c r="B53">
        <v>0</v>
      </c>
      <c r="C53" t="str">
        <v>Off</v>
      </c>
      <c r="D53" s="9" t="str">
        <v>Nitrous1On</v>
      </c>
      <c r="E53" s="3"/>
    </row>
    <row r="54" spans="1:5">
      <c r="A54" s="1" t="s">
        <v>41</v>
      </c>
      <c r="B54">
        <v>0</v>
      </c>
      <c r="C54" t="str">
        <v>Off</v>
      </c>
      <c r="D54" s="9" t="str">
        <v>Nitrous2Arm</v>
      </c>
      <c r="E54" s="3"/>
    </row>
    <row r="55" spans="1:5">
      <c r="A55" s="1" t="s">
        <v>42</v>
      </c>
      <c r="B55">
        <v>0</v>
      </c>
      <c r="C55" t="str">
        <v>Off</v>
      </c>
      <c r="D55" s="9" t="str">
        <v>Nitrous2On</v>
      </c>
      <c r="E55" s="3"/>
    </row>
    <row r="56" spans="1:5">
      <c r="A56" s="1" t="s">
        <v>43</v>
      </c>
      <c r="B56">
        <v>0</v>
      </c>
      <c r="C56" t="str">
        <v>Off</v>
      </c>
      <c r="D56" s="9" t="str">
        <v>Nitrous3Arm</v>
      </c>
      <c r="E56" s="3"/>
    </row>
    <row r="57" spans="1:5">
      <c r="A57" s="1" t="s">
        <v>44</v>
      </c>
      <c r="B57">
        <v>0</v>
      </c>
      <c r="C57" t="str">
        <v>Off</v>
      </c>
      <c r="D57" s="9" t="str">
        <v>Nitrous3On</v>
      </c>
      <c r="E57" s="3"/>
    </row>
    <row r="58" spans="1:5">
      <c r="A58" s="1" t="s">
        <v>45</v>
      </c>
      <c r="B58">
        <v>0</v>
      </c>
      <c r="C58" t="str">
        <v>Off</v>
      </c>
      <c r="D58" s="9" t="str">
        <v>Datalogging</v>
      </c>
      <c r="E58" s="3"/>
    </row>
    <row r="59" spans="1:5">
      <c r="A59" s="1" t="s">
        <v>46</v>
      </c>
      <c r="B59">
        <v>0</v>
      </c>
      <c r="C59">
        <v>1365</v>
      </c>
      <c r="D59" s="9" t="str">
        <v>Frame</v>
      </c>
      <c r="E59" s="3"/>
    </row>
    <row r="60" spans="1:5">
      <c r="A60" s="1" t="s">
        <v>79</v>
      </c>
      <c r="B60" t="str">
        <v>%</v>
      </c>
      <c r="C60">
        <v>0</v>
      </c>
      <c r="D60" s="9" t="str">
        <v>IAT.c</v>
      </c>
      <c r="E60" s="3"/>
    </row>
    <row r="61" spans="1:5">
      <c r="A61" s="1" t="s">
        <v>80</v>
      </c>
      <c r="B61" t="str">
        <v>%</v>
      </c>
      <c r="C61">
        <v>0</v>
      </c>
      <c r="D61" s="9" t="str">
        <v>ECT.c</v>
      </c>
      <c r="E61" s="3"/>
    </row>
    <row r="62" spans="1:5">
      <c r="A62" s="1" t="s">
        <v>81</v>
      </c>
      <c r="B62">
        <v>0</v>
      </c>
      <c r="C62" t="str">
        <v>Off</v>
      </c>
      <c r="D62" s="9" t="str">
        <v>CL</v>
      </c>
      <c r="E62" s="3"/>
    </row>
    <row r="63" spans="1:5">
      <c r="A63" s="1" t="s">
        <v>47</v>
      </c>
      <c r="B63" t="str">
        <v>%</v>
      </c>
      <c r="C63">
        <v>0</v>
      </c>
      <c r="D63" s="9" t="str">
        <v>PWM</v>
      </c>
      <c r="E63" s="3"/>
    </row>
    <row r="64" spans="1:5">
      <c r="A64" s="1" t="s">
        <v>23</v>
      </c>
      <c r="B64">
        <v>0</v>
      </c>
      <c r="C64">
        <v>1</v>
      </c>
      <c r="D64" s="9" t="str">
        <v>Lambda</v>
      </c>
      <c r="E64" s="3"/>
    </row>
    <row r="65" spans="1:5">
      <c r="A65" s="1" t="s">
        <v>13</v>
      </c>
      <c r="B65">
        <v>0</v>
      </c>
      <c r="C65">
        <v>0</v>
      </c>
      <c r="D65" s="9" t="str">
        <v>knock</v>
      </c>
      <c r="E65" s="3"/>
    </row>
    <row r="66" spans="1:5">
      <c r="A66" s="1" t="s">
        <v>48</v>
      </c>
      <c r="B66">
        <v>0</v>
      </c>
      <c r="C66" t="str">
        <v>Off</v>
      </c>
      <c r="D66" s="9" t="str">
        <v>A10</v>
      </c>
      <c r="E66" s="3"/>
    </row>
    <row r="67" spans="1:5">
      <c r="A67" s="1" t="s">
        <v>57</v>
      </c>
      <c r="B67" t="str">
        <v>V</v>
      </c>
      <c r="C67">
        <v>2.4</v>
      </c>
      <c r="D67" s="9" t="str">
        <v>Lambda Voltage</v>
      </c>
      <c r="E67" s="3"/>
    </row>
    <row r="68" spans="1:5">
      <c r="A68" s="1" t="s">
        <v>83</v>
      </c>
      <c r="B68" t="str">
        <v>V</v>
      </c>
      <c r="C68">
        <v>0</v>
      </c>
      <c r="D68" s="9" t="str">
        <v>AN0</v>
      </c>
      <c r="E68" s="3"/>
    </row>
    <row r="69" spans="1:5">
      <c r="A69" s="1" t="s">
        <v>82</v>
      </c>
      <c r="B69" t="str">
        <v>V</v>
      </c>
      <c r="C69">
        <v>0</v>
      </c>
      <c r="D69" s="9" t="str">
        <v>AN1</v>
      </c>
      <c r="E69" s="3"/>
    </row>
    <row r="70" spans="1:5">
      <c r="A70" s="1" t="s">
        <v>84</v>
      </c>
      <c r="B70" t="str">
        <v>V</v>
      </c>
      <c r="C70">
        <v>0</v>
      </c>
      <c r="D70" s="9" t="str">
        <v>AN2</v>
      </c>
      <c r="E70" s="3"/>
    </row>
    <row r="71" spans="1:5">
      <c r="A71" s="1" t="s">
        <v>85</v>
      </c>
      <c r="B71" t="str">
        <v>V</v>
      </c>
      <c r="C71">
        <v>0</v>
      </c>
      <c r="D71" s="9" t="str">
        <v>AN3</v>
      </c>
      <c r="E71" s="3"/>
    </row>
    <row r="72" spans="1:5">
      <c r="A72" s="1" t="s">
        <v>86</v>
      </c>
      <c r="B72" t="str">
        <v>V</v>
      </c>
      <c r="C72">
        <v>0</v>
      </c>
      <c r="D72" s="9" t="str">
        <v>AN4</v>
      </c>
      <c r="E72" s="3"/>
    </row>
    <row r="73" spans="1:5">
      <c r="A73" s="1" t="s">
        <v>87</v>
      </c>
      <c r="B73" t="str">
        <v>V</v>
      </c>
      <c r="C73">
        <v>0</v>
      </c>
      <c r="D73" s="9" t="str">
        <v>AN5</v>
      </c>
      <c r="E73" s="3"/>
    </row>
    <row r="74" spans="1:5">
      <c r="A74" s="1" t="s">
        <v>88</v>
      </c>
      <c r="B74" t="str">
        <v>V</v>
      </c>
      <c r="C74">
        <v>0</v>
      </c>
      <c r="D74" s="9" t="str">
        <v>AN6</v>
      </c>
      <c r="E74" s="3"/>
    </row>
    <row r="75" spans="1:5">
      <c r="A75" s="1" t="s">
        <v>89</v>
      </c>
      <c r="B75" t="str">
        <v>V</v>
      </c>
      <c r="C75">
        <v>0</v>
      </c>
      <c r="D75" s="9" t="str">
        <v>AN7</v>
      </c>
      <c r="E75" s="3"/>
    </row>
    <row r="76" spans="1:5">
      <c r="A76" s="1" t="s">
        <v>90</v>
      </c>
      <c r="B76" t="str">
        <v>V</v>
      </c>
      <c r="C76">
        <v>0</v>
      </c>
      <c r="D76" s="9" t="str">
        <v>DI0</v>
      </c>
      <c r="E76" s="3"/>
    </row>
    <row r="77" spans="1:5">
      <c r="A77" s="1" t="s">
        <v>91</v>
      </c>
      <c r="B77" t="str">
        <v>V</v>
      </c>
      <c r="C77">
        <v>0</v>
      </c>
      <c r="D77" s="9" t="str">
        <v>DI1</v>
      </c>
      <c r="E77" s="3"/>
    </row>
    <row r="78" spans="1:5">
      <c r="A78" s="1" t="s">
        <v>92</v>
      </c>
      <c r="B78" t="str">
        <v>V</v>
      </c>
      <c r="C78">
        <v>0</v>
      </c>
      <c r="D78" s="9" t="str">
        <v>DI2</v>
      </c>
      <c r="E78" s="3"/>
    </row>
    <row r="79" spans="1:5">
      <c r="A79" s="1" t="s">
        <v>93</v>
      </c>
      <c r="B79" t="str">
        <v>V</v>
      </c>
      <c r="C79">
        <v>0</v>
      </c>
      <c r="D79" s="9" t="str">
        <v>DI3</v>
      </c>
      <c r="E79" s="3"/>
    </row>
    <row r="80" spans="1:5">
      <c r="A80" s="1" t="s">
        <v>94</v>
      </c>
      <c r="B80" t="str">
        <v>V</v>
      </c>
      <c r="C80">
        <v>0</v>
      </c>
      <c r="D80" s="9" t="str">
        <v>DI4</v>
      </c>
      <c r="E80" s="3"/>
    </row>
    <row r="81" spans="1:5">
      <c r="A81" s="1" t="s">
        <v>95</v>
      </c>
      <c r="B81" t="str">
        <v>V</v>
      </c>
      <c r="C81">
        <v>0</v>
      </c>
      <c r="D81" s="9" t="str">
        <v>DI5</v>
      </c>
      <c r="E81" s="3"/>
    </row>
    <row r="82" spans="1:5">
      <c r="A82" s="1" t="s">
        <v>96</v>
      </c>
      <c r="B82" t="str">
        <v>V</v>
      </c>
      <c r="C82">
        <v>0</v>
      </c>
      <c r="D82" s="9" t="str">
        <v>DI6</v>
      </c>
      <c r="E82" s="3"/>
    </row>
    <row r="83" spans="1:5">
      <c r="A83" s="1" t="s">
        <v>97</v>
      </c>
      <c r="B83" t="str">
        <v>V</v>
      </c>
      <c r="C83">
        <v>0</v>
      </c>
      <c r="D83" s="9" t="str">
        <v>DI7</v>
      </c>
      <c r="E83" s="3"/>
    </row>
    <row r="84" spans="1:5">
      <c r="A84" s="1" t="s">
        <v>58</v>
      </c>
      <c r="B84" t="str">
        <v>mph</v>
      </c>
      <c r="C84">
        <v>0</v>
      </c>
      <c r="D84" s="9" t="str">
        <v>TC LF</v>
      </c>
      <c r="E84" s="3"/>
    </row>
    <row r="85" spans="1:5">
      <c r="A85" s="1" t="s">
        <v>59</v>
      </c>
      <c r="B85" t="str">
        <v>mph</v>
      </c>
      <c r="C85">
        <v>0</v>
      </c>
      <c r="D85" s="9" t="str">
        <v>TC RF</v>
      </c>
      <c r="E85" s="3"/>
    </row>
    <row r="86" spans="1:5">
      <c r="A86" s="1" t="s">
        <v>60</v>
      </c>
      <c r="B86" t="str">
        <v>mph</v>
      </c>
      <c r="C86">
        <v>0</v>
      </c>
      <c r="D86" s="9" t="str">
        <v>TC LR</v>
      </c>
      <c r="E86" s="3"/>
    </row>
    <row r="87" spans="1:5">
      <c r="A87" s="1" t="s">
        <v>61</v>
      </c>
      <c r="B87" t="str">
        <v>mph</v>
      </c>
      <c r="C87">
        <v>0</v>
      </c>
      <c r="D87" s="9" t="str">
        <v>TC RR</v>
      </c>
      <c r="E87" s="3"/>
    </row>
    <row r="88" spans="1:5">
      <c r="A88" s="1" t="s">
        <v>62</v>
      </c>
      <c r="B88" t="str">
        <v>%</v>
      </c>
      <c r="C88">
        <v>0</v>
      </c>
      <c r="D88" s="9" t="str">
        <v>TC Slip</v>
      </c>
      <c r="E88" s="3"/>
    </row>
    <row r="89" spans="1:5">
      <c r="A89" s="1" t="s">
        <v>63</v>
      </c>
      <c r="B89" t="str">
        <v>%</v>
      </c>
      <c r="C89">
        <v>0</v>
      </c>
      <c r="D89" s="9" t="str">
        <v>TC Turn</v>
      </c>
      <c r="E89" s="3"/>
    </row>
    <row r="90" spans="1:5">
      <c r="A90" s="1" t="s">
        <v>64</v>
      </c>
      <c r="B90" t="str">
        <v>V</v>
      </c>
      <c r="C90">
        <v>0</v>
      </c>
      <c r="D90" s="9" t="str">
        <v>TC Out</v>
      </c>
      <c r="E90" s="3"/>
    </row>
    <row r="91" spans="1:5">
      <c r="A91" s="1" t="s">
        <v>65</v>
      </c>
      <c r="B91" t="str">
        <v>%</v>
      </c>
      <c r="C91">
        <v>0</v>
      </c>
      <c r="D91" s="9" t="str">
        <v>TC Over Slip</v>
      </c>
      <c r="E91" s="3"/>
    </row>
    <row r="92" spans="1:5">
      <c r="A92" s="1" t="s">
        <v>66</v>
      </c>
      <c r="B92" t="str">
        <v>°</v>
      </c>
      <c r="C92">
        <v>0</v>
      </c>
      <c r="D92" s="9" t="str">
        <v>TC Retard</v>
      </c>
      <c r="E92" s="3"/>
    </row>
    <row r="93" spans="1:5">
      <c r="A93" s="1" t="s">
        <v>67</v>
      </c>
      <c r="B93" t="str">
        <v>%</v>
      </c>
      <c r="C93">
        <v>0</v>
      </c>
      <c r="D93" s="9" t="str">
        <v>TC Limit</v>
      </c>
      <c r="E93" s="3"/>
    </row>
    <row r="94" spans="1:5">
      <c r="A94" s="1" t="s">
        <v>98</v>
      </c>
      <c r="B94" t="str">
        <v>%</v>
      </c>
      <c r="C94">
        <v>0</v>
      </c>
      <c r="D94" s="9" t="str">
        <v>Eth.%</v>
      </c>
      <c r="E94" s="3"/>
    </row>
  </sheetData>
  <phoneticPr fontId="2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arseCSV">
                <anchor moveWithCells="1" sizeWithCells="1">
                  <from>
                    <xdr:col>5</xdr:col>
                    <xdr:colOff>85725</xdr:colOff>
                    <xdr:row>5</xdr:row>
                    <xdr:rowOff>95250</xdr:rowOff>
                  </from>
                  <to>
                    <xdr:col>7</xdr:col>
                    <xdr:colOff>352425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23</vt:i4>
      </vt:variant>
    </vt:vector>
  </HeadingPairs>
  <TitlesOfParts>
    <vt:vector size="25" baseType="lpstr">
      <vt:lpstr>Main</vt:lpstr>
      <vt:lpstr>SManager</vt:lpstr>
      <vt:lpstr>range_buttonArea</vt:lpstr>
      <vt:lpstr>range_CalInput</vt:lpstr>
      <vt:lpstr>range_CalName</vt:lpstr>
      <vt:lpstr>range_DateStart</vt:lpstr>
      <vt:lpstr>range_FilePath</vt:lpstr>
      <vt:lpstr>range_FrameCount</vt:lpstr>
      <vt:lpstr>range_HeaderFrames</vt:lpstr>
      <vt:lpstr>range_HeaderLength</vt:lpstr>
      <vt:lpstr>range_HeaderNotes</vt:lpstr>
      <vt:lpstr>range_HeaderTitle</vt:lpstr>
      <vt:lpstr>range_LogFileName</vt:lpstr>
      <vt:lpstr>range_logFilePath</vt:lpstr>
      <vt:lpstr>range_LogTime</vt:lpstr>
      <vt:lpstr>range_MessageBox</vt:lpstr>
      <vt:lpstr>range_Notes</vt:lpstr>
      <vt:lpstr>range_SensorCount</vt:lpstr>
      <vt:lpstr>range_SensorNames</vt:lpstr>
      <vt:lpstr>range_SensorUnits</vt:lpstr>
      <vt:lpstr>range_SensorVals</vt:lpstr>
      <vt:lpstr>range_SManagerCalName</vt:lpstr>
      <vt:lpstr>range_Time</vt:lpstr>
      <vt:lpstr>range_TimeOfDay</vt:lpstr>
      <vt:lpstr>range_TimeStart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derek</dc:creator>
  <cp:lastModifiedBy>Adam Jones</cp:lastModifiedBy>
  <dcterms:created xsi:type="dcterms:W3CDTF">1996-10-14T23:33:28Z</dcterms:created>
  <dcterms:modified xsi:type="dcterms:W3CDTF">2018-12-15T02:58:01Z</dcterms:modified>
</cp:coreProperties>
</file>